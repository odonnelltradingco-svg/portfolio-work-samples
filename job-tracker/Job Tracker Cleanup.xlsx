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78ffd1872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d3a56acfae4f60"/>
    <x:sheet xmlns:r="http://schemas.openxmlformats.org/officeDocument/2006/relationships" name="Active" sheetId="2" r:id="Rf715a365e4054313"/>
    <x:sheet xmlns:r="http://schemas.openxmlformats.org/officeDocument/2006/relationships" name="Archive" sheetId="3" r:id="R59771c93bbed43e9"/>
    <x:sheet xmlns:r="http://schemas.openxmlformats.org/officeDocument/2006/relationships" name="Review" sheetId="4" r:id="R6fa9037c47af47e4"/>
    <x:sheet xmlns:r="http://schemas.openxmlformats.org/officeDocument/2006/relationships" name="Original" sheetId="5" r:id="R87e2d5f35cec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53249"/>
      <x:name val="Arial"/>
    </x:font>
    <x:font>
      <x:b/>
      <x:sz val="19"/>
      <x:color rgb="FF253249"/>
      <x:name val="Arial"/>
    </x:font>
    <x:font>
      <x:sz val="10"/>
      <x:color rgb="FF576579"/>
      <x:name val="Arial"/>
    </x:font>
    <x:font>
      <x:b/>
      <x:sz val="11"/>
      <x:color rgb="FFFFFFFF"/>
      <x:name val="Arial"/>
    </x:font>
    <x:font>
      <x:b/>
      <x:sz val="12"/>
      <x:color rgb="FF253249"/>
      <x:name val="Arial"/>
    </x:font>
    <x:font>
      <x:b/>
      <x:sz val="14"/>
      <x:color rgb="FF315B91"/>
      <x:name val="Arial"/>
    </x:font>
    <x:font>
      <x:b/>
      <x:sz val="11"/>
      <x:color rgb="FF2532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249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AAB6C6"/>
      </x:bottom>
    </x:border>
    <x:border>
      <x:top style="thin">
        <x:color rgb="FFAAB6C6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0" fontId="1" fillId="0" borderId="2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674719"/>
      </x:font>
      <x:fill>
        <x:patternFill patternType="solid">
          <x:bgColor rgb="FFFFE4C2"/>
        </x:patternFill>
      </x:fill>
    </x:dxf>
    <x:dxf>
      <x:font>
        <x:color rgb="FF315B91"/>
      </x:font>
      <x:fill>
        <x:patternFill patternType="solid">
          <x:bgColor rgb="FFE3ECFB"/>
        </x:patternFill>
      </x:fill>
    </x:dxf>
    <x:dxf>
      <x:font>
        <x:color rgb="FF285537"/>
      </x:font>
      <x:fill>
        <x:patternFill patternType="solid">
          <x:bgColor rgb="FFE5F1E8"/>
        </x:patternFill>
      </x:fill>
    </x:dxf>
    <x:dxf>
      <x:font>
        <x:color rgb="FF812D34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2705d38b44599" /><Relationship Type="http://schemas.openxmlformats.org/officeDocument/2006/relationships/theme" Target="/xl/theme/theme1.xml" Id="R35105e76f1824db4" /><Relationship Type="http://schemas.openxmlformats.org/officeDocument/2006/relationships/sharedStrings" Target="/xl/sharedStrings.xml" Id="R86d7ed71928f49b0" /><Relationship Type="http://schemas.openxmlformats.org/officeDocument/2006/relationships/worksheet" Target="/xl/worksheets/sheet1.xml" Id="R71d3a56acfae4f60" /><Relationship Type="http://schemas.openxmlformats.org/officeDocument/2006/relationships/worksheet" Target="/xl/worksheets/sheet2.xml" Id="Rf715a365e4054313" /><Relationship Type="http://schemas.openxmlformats.org/officeDocument/2006/relationships/worksheet" Target="/xl/worksheets/sheet3.xml" Id="R59771c93bbed43e9" /><Relationship Type="http://schemas.openxmlformats.org/officeDocument/2006/relationships/worksheet" Target="/xl/worksheets/sheet4.xml" Id="R6fa9037c47af47e4" /><Relationship Type="http://schemas.openxmlformats.org/officeDocument/2006/relationships/worksheet" Target="/xl/worksheets/sheet5.xml" Id="R87e2d5f35cec4cb7" /></Relationships>
</file>

<file path=xl/tables/table1.xml><?xml version="1.0" encoding="utf-8"?>
<x:table xmlns:x="http://schemas.openxmlformats.org/spreadsheetml/2006/main" id="1" name="ActiveJobs" displayName="ActiveJobs" ref="B6:K16" headerRowCount="1" totalsRowCount="0" totalsRowShown="0">
  <x:autoFilter ref="B6:K16"/>
  <x:tableColumns count="10">
    <x:tableColumn id="1" name="Source record"/>
    <x:tableColumn id="2" name="Job title"/>
    <x:tableColumn id="3" name="Client"/>
    <x:tableColumn id="4" name="Status"/>
    <x:tableColumn id="5" name="Next action"/>
    <x:tableColumn id="6" name="Due date"/>
    <x:tableColumn id="7" name="Posted"/>
    <x:tableColumn id="8" name="Applied"/>
    <x:tableColumn id="9" name="Job ID"/>
    <x:tableColumn id="10" name="Posting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veJobs" displayName="ArchiveJobs" ref="B6:L10" headerRowCount="1" totalsRowCount="0" totalsRowShown="0">
  <x:autoFilter ref="B6:L10"/>
  <x:tableColumns count="11">
    <x:tableColumn id="1" name="Source record"/>
    <x:tableColumn id="2" name="Job title"/>
    <x:tableColumn id="3" name="Client"/>
    <x:tableColumn id="4" name="Status"/>
    <x:tableColumn id="5" name="Next action"/>
    <x:tableColumn id="6" name="Due date"/>
    <x:tableColumn id="7" name="Posted"/>
    <x:tableColumn id="8" name="Applied"/>
    <x:tableColumn id="9" name="Job ID"/>
    <x:tableColumn id="10" name="Posting URL"/>
    <x:tableColumn id="11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Jobs" displayName="ReviewJobs" ref="B6:L10" headerRowCount="1" totalsRowCount="0" totalsRowShown="0">
  <x:autoFilter ref="B6:L10"/>
  <x:tableColumns count="11">
    <x:tableColumn id="1" name="Source record"/>
    <x:tableColumn id="2" name="Job title"/>
    <x:tableColumn id="3" name="Client"/>
    <x:tableColumn id="4" name="Status"/>
    <x:tableColumn id="5" name="Next action"/>
    <x:tableColumn id="6" name="Due date"/>
    <x:tableColumn id="7" name="Posted"/>
    <x:tableColumn id="8" name="Applied"/>
    <x:tableColumn id="9" name="Job ID"/>
    <x:tableColumn id="10" name="Posting URL"/>
    <x:tableColumn id="11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iginalRecords" displayName="OriginalRecords" ref="B6:K24" headerRowCount="1" totalsRowCount="0" totalsRowShown="0">
  <x:autoFilter ref="B6:K24"/>
  <x:tableColumns count="10">
    <x:tableColumn id="1" name="Source record"/>
    <x:tableColumn id="2" name="job id"/>
    <x:tableColumn id="3" name="job title"/>
    <x:tableColumn id="4" name="client"/>
    <x:tableColumn id="5" name="posting url"/>
    <x:tableColumn id="6" name="status"/>
    <x:tableColumn id="7" name="posted date"/>
    <x:tableColumn id="8" name="applied date"/>
    <x:tableColumn id="9" name="next action date"/>
    <x:tableColumn id="10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5fc31635e4e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f82b163b4743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64406bc993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eb7d94edfd4d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2" hidden="0" customWidth="1"/>
    <x:col min="3" max="3" width="15" hidden="0" customWidth="1"/>
    <x:col min="4" max="4" width="4" hidden="0" customWidth="1"/>
    <x:col min="5" max="5" width="29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</x:row>
    <x:row r="2" ht="33" customHeight="1">
      <x:c r="A2" s="1"/>
      <x:c r="B2" s="2" t="str">
        <x:v>Job tracker cleanup</x:v>
      </x:c>
      <x:c r="C2" s="1"/>
      <x:c r="D2" s="1"/>
      <x:c r="E2" s="1"/>
      <x:c r="F2" s="1"/>
      <x:c r="G2" s="1"/>
      <x:c r="H2" s="1"/>
    </x:row>
    <x:row r="3" ht="25" customHeight="1">
      <x:c r="A3" s="1"/>
      <x:c r="B3" s="3" t="str">
        <x:v>Original portfolio demonstration by Pierce O’Donnell. All jobs, clients and dates are fictional.</x:v>
      </x:c>
      <x:c r="C3" s="1"/>
      <x:c r="D3" s="1"/>
      <x:c r="E3" s="1"/>
      <x:c r="F3" s="1"/>
      <x:c r="G3" s="1"/>
      <x:c r="H3" s="1"/>
    </x:row>
    <x:row r="4" ht="25" customHeight="1">
      <x:c r="A4" s="1"/>
      <x:c r="B4" s="4"/>
      <x:c r="C4" s="4"/>
      <x:c r="D4" s="4"/>
      <x:c r="E4" s="4"/>
      <x:c r="F4" s="4"/>
      <x:c r="G4" s="4"/>
      <x:c r="H4" s="4"/>
    </x:row>
    <x:row r="5" ht="25" customHeight="1">
      <x:c r="A5" s="1"/>
      <x:c r="B5" s="1"/>
      <x:c r="C5" s="1"/>
      <x:c r="D5" s="1"/>
      <x:c r="E5" s="1"/>
      <x:c r="F5" s="1"/>
      <x:c r="G5" s="1"/>
      <x:c r="H5" s="1"/>
    </x:row>
    <x:row r="6" ht="25" customHeight="1">
      <x:c r="A6" s="1"/>
      <x:c r="B6" s="18" t="str">
        <x:v>Record reconciliation</x:v>
      </x:c>
      <x:c r="C6" s="1"/>
      <x:c r="D6" s="1"/>
      <x:c r="E6" s="1" t="str">
        <x:v>Follow-up reference date</x:v>
      </x:c>
      <x:c r="F6" s="20" t="n">
        <x:v>46271</x:v>
      </x:c>
      <x:c r="G6" s="1"/>
      <x:c r="H6" s="1"/>
    </x:row>
    <x:row r="7" ht="25" customHeight="1">
      <x:c r="A7" s="1"/>
      <x:c r="B7" s="1"/>
      <x:c r="C7" s="1"/>
      <x:c r="D7" s="1"/>
      <x:c r="E7" s="1"/>
      <x:c r="F7" s="1"/>
      <x:c r="G7" s="1"/>
      <x:c r="H7" s="1"/>
    </x:row>
    <x:row r="8" ht="34" customHeight="1">
      <x:c r="A8" s="1"/>
      <x:c r="B8" s="8" t="str">
        <x:v>Location</x:v>
      </x:c>
      <x:c r="C8" s="8" t="str">
        <x:v>Records</x:v>
      </x:c>
      <x:c r="D8" s="1"/>
      <x:c r="E8" s="8" t="str">
        <x:v>Active status</x:v>
      </x:c>
      <x:c r="F8" s="8" t="str">
        <x:v>Records</x:v>
      </x:c>
      <x:c r="G8" s="1"/>
      <x:c r="H8" s="1"/>
    </x:row>
    <x:row r="9" ht="25" customHeight="1">
      <x:c r="A9" s="1"/>
      <x:c r="B9" s="1" t="str">
        <x:v>Original</x:v>
      </x:c>
      <x:c r="C9" s="1" t="n">
        <x:f>COUNT('Original'!B7:B206)</x:f>
        <x:v>18</x:v>
      </x:c>
      <x:c r="D9" s="1"/>
      <x:c r="E9" s="1" t="str">
        <x:v>Saved</x:v>
      </x:c>
      <x:c r="F9" s="1" t="n">
        <x:f>COUNTIF('Active'!$E$7:$E$206,E9)</x:f>
        <x:v>3</x:v>
      </x:c>
      <x:c r="G9" s="1"/>
      <x:c r="H9" s="1"/>
    </x:row>
    <x:row r="10" ht="25" customHeight="1">
      <x:c r="A10" s="1"/>
      <x:c r="B10" s="1" t="str">
        <x:v>Active</x:v>
      </x:c>
      <x:c r="C10" s="1" t="n">
        <x:f>COUNT('Active'!B7:B206)</x:f>
        <x:v>10</x:v>
      </x:c>
      <x:c r="D10" s="1"/>
      <x:c r="E10" s="1" t="str">
        <x:v>Applied</x:v>
      </x:c>
      <x:c r="F10" s="1" t="n">
        <x:f>COUNTIF('Active'!$E$7:$E$206,E10)</x:f>
        <x:v>4</x:v>
      </x:c>
      <x:c r="G10" s="1"/>
      <x:c r="H10" s="1"/>
    </x:row>
    <x:row r="11" ht="25" customHeight="1">
      <x:c r="A11" s="1"/>
      <x:c r="B11" s="1" t="str">
        <x:v>Archive</x:v>
      </x:c>
      <x:c r="C11" s="1" t="n">
        <x:f>COUNT('Archive'!B7:B206)</x:f>
        <x:v>4</x:v>
      </x:c>
      <x:c r="D11" s="1"/>
      <x:c r="E11" s="1" t="str">
        <x:v>Interviewing</x:v>
      </x:c>
      <x:c r="F11" s="1" t="n">
        <x:f>COUNTIF('Active'!$E$7:$E$206,E11)</x:f>
        <x:v>2</x:v>
      </x:c>
      <x:c r="G11" s="1"/>
      <x:c r="H11" s="1"/>
    </x:row>
    <x:row r="12" ht="25" customHeight="1">
      <x:c r="A12" s="1"/>
      <x:c r="B12" s="1" t="str">
        <x:v>Review</x:v>
      </x:c>
      <x:c r="C12" s="1" t="n">
        <x:f>COUNT('Review'!B7:B206)</x:f>
        <x:v>4</x:v>
      </x:c>
      <x:c r="D12" s="1"/>
      <x:c r="E12" s="1" t="str">
        <x:v>Offer</x:v>
      </x:c>
      <x:c r="F12" s="1" t="n">
        <x:f>COUNTIF('Active'!$E$7:$E$206,E12)</x:f>
        <x:v>1</x:v>
      </x:c>
      <x:c r="G12" s="1"/>
      <x:c r="H12" s="1"/>
    </x:row>
    <x:row r="13" ht="25" customHeight="1">
      <x:c r="A13" s="1"/>
      <x:c r="B13" s="21" t="str">
        <x:v>Accounted for</x:v>
      </x:c>
      <x:c r="C13" s="21" t="n">
        <x:f>SUM(C10:C12)</x:f>
        <x:v>18</x:v>
      </x:c>
      <x:c r="D13" s="1"/>
      <x:c r="E13" s="1"/>
      <x:c r="F13" s="1"/>
      <x:c r="G13" s="1"/>
      <x:c r="H13" s="1"/>
    </x:row>
    <x:row r="14" ht="35" customHeight="1">
      <x:c r="A14" s="1"/>
      <x:c r="B14" s="1" t="str">
        <x:v>Difference</x:v>
      </x:c>
      <x:c r="C14" s="1" t="n">
        <x:f>C9-C13</x:f>
        <x:v>0</x:v>
      </x:c>
      <x:c r="D14" s="1"/>
      <x:c r="E14" s="17" t="str">
        <x:v>Due on or before reference date</x:v>
      </x:c>
      <x:c r="F14" s="22" t="n">
        <x:f>COUNTIFS('Active'!G7:G206,"&gt;0",'Active'!G7:G206,"&lt;="&amp;F6)</x:f>
        <x:v>3</x:v>
      </x:c>
      <x:c r="G14" s="1"/>
      <x:c r="H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</x:row>
    <x:row r="17" ht="25" customHeight="1">
      <x:c r="A17" s="1"/>
      <x:c r="B17" s="18" t="str">
        <x:v>Cleanup rules</x:v>
      </x:c>
      <x:c r="C17" s="1"/>
      <x:c r="D17" s="1"/>
      <x:c r="E17" s="1"/>
      <x:c r="F17" s="1"/>
      <x:c r="G17" s="1"/>
      <x:c r="H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</x:row>
    <x:row r="19" ht="36" customHeight="1">
      <x:c r="A19" s="1"/>
      <x:c r="B19" s="23" t="str">
        <x:v>Preserve the original</x:v>
      </x:c>
      <x:c r="C19" s="17" t="str">
        <x:v>Original sheet and source CSV retain all 18 records.</x:v>
      </x:c>
      <x:c r="D19" s="17"/>
      <x:c r="E19" s="17"/>
      <x:c r="F19" s="17"/>
      <x:c r="G19" s="17"/>
      <x:c r="H19" s="17"/>
    </x:row>
    <x:row r="20" ht="36" customHeight="1">
      <x:c r="A20" s="1"/>
      <x:c r="B20" s="23" t="str">
        <x:v>Safe normalization</x:v>
      </x:c>
      <x:c r="C20" s="17" t="str">
        <x:v>Trim outside whitespace, map known statuses, normalize URL scheme and host.</x:v>
      </x:c>
      <x:c r="D20" s="17"/>
      <x:c r="E20" s="17"/>
      <x:c r="F20" s="17"/>
      <x:c r="G20" s="17"/>
      <x:c r="H20" s="17"/>
    </x:row>
    <x:row r="21" ht="36" customHeight="1">
      <x:c r="A21" s="1"/>
      <x:c r="B21" s="23" t="str">
        <x:v>Exact duplicates</x:v>
      </x:c>
      <x:c r="C21" s="17" t="str">
        <x:v>Same job ID or URL and all normalized fields match. Archive later copies.</x:v>
      </x:c>
      <x:c r="D21" s="17"/>
      <x:c r="E21" s="17"/>
      <x:c r="F21" s="17"/>
      <x:c r="G21" s="17"/>
      <x:c r="H21" s="17"/>
    </x:row>
    <x:row r="22" ht="36" customHeight="1">
      <x:c r="A22" s="1"/>
      <x:c r="B22" s="23" t="str">
        <x:v>Closed and expired</x:v>
      </x:c>
      <x:c r="C22" s="17" t="str">
        <x:v>Archive only statuses explicitly marked Closed or Expired in the source.</x:v>
      </x:c>
      <x:c r="D22" s="17"/>
      <x:c r="E22" s="17"/>
      <x:c r="F22" s="17"/>
      <x:c r="G22" s="17"/>
      <x:c r="H22" s="17"/>
    </x:row>
    <x:row r="23" ht="36" customHeight="1">
      <x:c r="A23" s="1"/>
      <x:c r="B23" s="23" t="str">
        <x:v>Conflicts and unknowns</x:v>
      </x:c>
      <x:c r="C23" s="17" t="str">
        <x:v>Review shared identities with conflicting details, missing keys or unknown status.</x:v>
      </x:c>
      <x:c r="D23" s="17"/>
      <x:c r="E23" s="17"/>
      <x:c r="F23" s="17"/>
      <x:c r="G23" s="17"/>
      <x:c r="H23" s="17"/>
    </x:row>
    <x:row r="24" ht="36" customHeight="1">
      <x:c r="A24" s="1"/>
      <x:c r="B24" s="23" t="str">
        <x:v>No age-based deletion</x:v>
      </x:c>
      <x:c r="C24" s="17" t="str">
        <x:v>An old posting stays active unless its status or a confirmed rule says otherwise.</x:v>
      </x:c>
      <x:c r="D24" s="17"/>
      <x:c r="E24" s="17"/>
      <x:c r="F24" s="17"/>
      <x:c r="G24" s="17"/>
      <x:c r="H24" s="17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18" t="str">
        <x:v>Using the cleaned copy</x:v>
      </x:c>
      <x:c r="C27" s="1"/>
      <x:c r="D27" s="1"/>
      <x:c r="E27" s="1"/>
      <x:c r="F27" s="1"/>
      <x:c r="G27" s="1"/>
      <x:c r="H27" s="1"/>
    </x:row>
    <x:row r="28" ht="25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24" t="str">
        <x:v>Amber cells are intended updates: active status, next action, due date and reference date.</x:v>
      </x:c>
      <x:c r="C29" s="24"/>
      <x:c r="D29" s="24"/>
      <x:c r="E29" s="24"/>
      <x:c r="F29" s="24"/>
      <x:c r="G29" s="24"/>
      <x:c r="H29" s="24"/>
    </x:row>
    <x:row r="30" ht="29" customHeight="1">
      <x:c r="A30" s="1"/>
      <x:c r="B30" s="24" t="str">
        <x:v>Use the table filters to find work. Move a record manually when its status changes buckets.</x:v>
      </x:c>
      <x:c r="C30" s="24"/>
      <x:c r="D30" s="24"/>
      <x:c r="E30" s="24"/>
      <x:c r="F30" s="24"/>
      <x:c r="G30" s="24"/>
      <x:c r="H30" s="24"/>
    </x:row>
    <x:row r="31" ht="29" customHeight="1">
      <x:c r="A31" s="1"/>
      <x:c r="B31" s="24" t="str">
        <x:v>Summary formulas and validation cover rows 7–206. Extend these ranges for a larger tracker.</x:v>
      </x:c>
      <x:c r="C31" s="24"/>
      <x:c r="D31" s="24"/>
      <x:c r="E31" s="24"/>
      <x:c r="F31" s="24"/>
      <x:c r="G31" s="24"/>
      <x:c r="H31" s="24"/>
    </x:row>
    <x:row r="32" ht="29" customHeight="1">
      <x:c r="A32" s="1"/>
      <x:c r="B32" s="24" t="str">
        <x:v>Cleanup is a snapshot, not an automatic workflow. Re-run the included CSV script for a fresh source.</x:v>
      </x:c>
      <x:c r="C32" s="24"/>
      <x:c r="D32" s="24"/>
      <x:c r="E32" s="24"/>
      <x:c r="F32" s="24"/>
      <x:c r="G32" s="24"/>
      <x:c r="H32" s="24"/>
    </x:row>
    <x:row r="33" ht="29" customHeight="1">
      <x:c r="A33" s="1"/>
      <x:c r="B33" s="24" t="str">
        <x:v>Original keeps source date text as received; cleaned sheets use sortable Excel dates.</x:v>
      </x:c>
      <x:c r="C33" s="24"/>
      <x:c r="D33" s="24"/>
      <x:c r="E33" s="24"/>
      <x:c r="F33" s="24"/>
      <x:c r="G33" s="24"/>
      <x:c r="H33" s="24"/>
    </x:row>
    <x:row r="34" ht="29" customHeight="1">
      <x:c r="A34" s="1"/>
      <x:c r="B34" s="24" t="str">
        <x:v>Source: sample-tracker.csv. Example.com links are placeholders; no live jobs or client results.</x:v>
      </x:c>
      <x:c r="C34" s="24"/>
      <x:c r="D34" s="24"/>
      <x:c r="E34" s="24"/>
      <x:c r="F34" s="24"/>
      <x:c r="G34" s="24"/>
      <x:c r="H34" s="24"/>
    </x:row>
    <x:row r="35" ht="25" customHeight="1">
      <x:c r="A35" s="1"/>
      <x:c r="B35" s="1"/>
      <x:c r="C35" s="1"/>
      <x:c r="D35" s="1"/>
      <x:c r="E35" s="1"/>
      <x:c r="F35" s="1"/>
      <x:c r="G35" s="1"/>
      <x:c r="H35" s="1"/>
    </x:row>
    <x:row r="36" ht="25" customHeight="1">
      <x:c r="A36" s="1"/>
      <x:c r="B36" s="1"/>
      <x:c r="C36" s="1"/>
      <x:c r="D36" s="1"/>
      <x:c r="E36" s="1"/>
      <x:c r="F36" s="1"/>
      <x:c r="G36" s="1"/>
      <x:c r="H36" s="1"/>
    </x:row>
  </x:sheetData>
  <x:mergeCells>
    <x:mergeCell ref="C19:H19"/>
    <x:mergeCell ref="C20:H20"/>
    <x:mergeCell ref="C21:H21"/>
    <x:mergeCell ref="C22:H22"/>
    <x:mergeCell ref="C23:H23"/>
    <x:mergeCell ref="C24:H24"/>
    <x:mergeCell ref="B29:H29"/>
    <x:mergeCell ref="B30:H30"/>
    <x:mergeCell ref="B31:H31"/>
    <x:mergeCell ref="B32:H32"/>
    <x:mergeCell ref="B33:H33"/>
    <x:mergeCell ref="B34:H34"/>
  </x:mergeCells>
  <x:conditionalFormatting sqref="C14:C14">
    <x:cfRule type="cellIs" dxfId="3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29" hidden="0" customWidth="1"/>
    <x:col min="4" max="4" width="22" hidden="0" customWidth="1"/>
    <x:col min="5" max="5" width="17" hidden="0" customWidth="1"/>
    <x:col min="6" max="6" width="4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47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3" customHeight="1">
      <x:c r="A2" s="1"/>
      <x:c r="B2" s="2" t="str">
        <x:v>Active jobs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/>
      <x:c r="B3" s="3" t="str">
        <x:v>Fictional sample. Filter by status or date; original record IDs stay attached.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1"/>
      <x:c r="B6" s="8" t="str">
        <x:v>Source record</x:v>
      </x:c>
      <x:c r="C6" s="8" t="str">
        <x:v>Job title</x:v>
      </x:c>
      <x:c r="D6" s="8" t="str">
        <x:v>Client</x:v>
      </x:c>
      <x:c r="E6" s="8" t="str">
        <x:v>Status</x:v>
      </x:c>
      <x:c r="F6" s="8" t="str">
        <x:v>Next action</x:v>
      </x:c>
      <x:c r="G6" s="8" t="str">
        <x:v>Due date</x:v>
      </x:c>
      <x:c r="H6" s="8" t="str">
        <x:v>Posted</x:v>
      </x:c>
      <x:c r="I6" s="8" t="str">
        <x:v>Applied</x:v>
      </x:c>
      <x:c r="J6" s="8" t="str">
        <x:v>Job ID</x:v>
      </x:c>
      <x:c r="K6" s="8" t="str">
        <x:v>Posting URL</x:v>
      </x:c>
    </x:row>
    <x:row r="7" ht="45" customHeight="1">
      <x:c r="A7" s="1"/>
      <x:c r="B7" s="14" t="n">
        <x:v>1</x:v>
      </x:c>
      <x:c r="C7" s="11" t="str">
        <x:v>Landing page cleanup</x:v>
      </x:c>
      <x:c r="D7" s="11" t="str">
        <x:v>Harbor Supply</x:v>
      </x:c>
      <x:c r="E7" s="15" t="str">
        <x:v>Saved</x:v>
      </x:c>
      <x:c r="F7" s="15" t="str">
        <x:v>Review scope and choose relevant sample</x:v>
      </x:c>
      <x:c r="G7" s="16" t="n">
        <x:v>46271</x:v>
      </x:c>
      <x:c r="H7" s="13" t="n">
        <x:v>46269</x:v>
      </x:c>
      <x:c r="I7" s="13" t="str"/>
      <x:c r="J7" s="14" t="str">
        <x:v>J001</x:v>
      </x:c>
      <x:c r="K7" s="11" t="str">
        <x:v>https://example.com/jobs/j001</x:v>
      </x:c>
    </x:row>
    <x:row r="8" ht="45" customHeight="1">
      <x:c r="A8" s="1"/>
      <x:c r="B8" s="14" t="n">
        <x:v>2</x:v>
      </x:c>
      <x:c r="C8" s="11" t="str">
        <x:v>Invoice export repair</x:v>
      </x:c>
      <x:c r="D8" s="11" t="str">
        <x:v>Pine Workshop</x:v>
      </x:c>
      <x:c r="E8" s="15" t="str">
        <x:v>Applied</x:v>
      </x:c>
      <x:c r="F8" s="15" t="str">
        <x:v>Check for a client response</x:v>
      </x:c>
      <x:c r="G8" s="16" t="n">
        <x:v>46273</x:v>
      </x:c>
      <x:c r="H8" s="13" t="n">
        <x:v>46267</x:v>
      </x:c>
      <x:c r="I8" s="13" t="n">
        <x:v>46268</x:v>
      </x:c>
      <x:c r="J8" s="14" t="str">
        <x:v>J002</x:v>
      </x:c>
      <x:c r="K8" s="11" t="str">
        <x:v>https://example.com/jobs/j002</x:v>
      </x:c>
    </x:row>
    <x:row r="9" ht="45" customHeight="1">
      <x:c r="A9" s="1"/>
      <x:c r="B9" s="14" t="n">
        <x:v>3</x:v>
      </x:c>
      <x:c r="C9" s="11" t="str">
        <x:v>Booking form update</x:v>
      </x:c>
      <x:c r="D9" s="11" t="str">
        <x:v>Northline Studio</x:v>
      </x:c>
      <x:c r="E9" s="15" t="str">
        <x:v>Applied</x:v>
      </x:c>
      <x:c r="F9" s="15" t="str">
        <x:v>Prepare questions about existing form</x:v>
      </x:c>
      <x:c r="G9" s="16" t="n">
        <x:v>46272</x:v>
      </x:c>
      <x:c r="H9" s="13" t="n">
        <x:v>46266</x:v>
      </x:c>
      <x:c r="I9" s="13" t="n">
        <x:v>46267</x:v>
      </x:c>
      <x:c r="J9" s="14" t="str">
        <x:v>J003</x:v>
      </x:c>
      <x:c r="K9" s="11" t="str">
        <x:v>https://example.com/jobs/j003</x:v>
      </x:c>
    </x:row>
    <x:row r="10" ht="45" customHeight="1">
      <x:c r="A10" s="1"/>
      <x:c r="B10" s="14" t="n">
        <x:v>4</x:v>
      </x:c>
      <x:c r="C10" s="11" t="str">
        <x:v>Product table cleanup</x:v>
      </x:c>
      <x:c r="D10" s="11" t="str">
        <x:v>Juniper Goods</x:v>
      </x:c>
      <x:c r="E10" s="15" t="str">
        <x:v>Interviewing</x:v>
      </x:c>
      <x:c r="F10" s="15" t="str">
        <x:v>Clarify sample file and acceptance checks</x:v>
      </x:c>
      <x:c r="G10" s="16" t="n">
        <x:v>46271</x:v>
      </x:c>
      <x:c r="H10" s="13" t="n">
        <x:v>46263</x:v>
      </x:c>
      <x:c r="I10" s="13" t="n">
        <x:v>46264</x:v>
      </x:c>
      <x:c r="J10" s="14" t="str">
        <x:v>J004</x:v>
      </x:c>
      <x:c r="K10" s="11" t="str">
        <x:v>https://example.com/jobs/j004</x:v>
      </x:c>
    </x:row>
    <x:row r="11" ht="45" customHeight="1">
      <x:c r="A11" s="1"/>
      <x:c r="B11" s="14" t="n">
        <x:v>5</x:v>
      </x:c>
      <x:c r="C11" s="11" t="str">
        <x:v>Mobile layout polish</x:v>
      </x:c>
      <x:c r="D11" s="11" t="str">
        <x:v>Orchard Services</x:v>
      </x:c>
      <x:c r="E11" s="15" t="str">
        <x:v>Offer</x:v>
      </x:c>
      <x:c r="F11" s="15" t="str">
        <x:v>Review proposed scope and milestone</x:v>
      </x:c>
      <x:c r="G11" s="16" t="n">
        <x:v>46270</x:v>
      </x:c>
      <x:c r="H11" s="13" t="n">
        <x:v>46266</x:v>
      </x:c>
      <x:c r="I11" s="13" t="n">
        <x:v>46266</x:v>
      </x:c>
      <x:c r="J11" s="14" t="str">
        <x:v>J005</x:v>
      </x:c>
      <x:c r="K11" s="11" t="str">
        <x:v>https://example.com/jobs/j005</x:v>
      </x:c>
    </x:row>
    <x:row r="12" ht="45" customHeight="1">
      <x:c r="A12" s="1"/>
      <x:c r="B12" s="14" t="n">
        <x:v>6</x:v>
      </x:c>
      <x:c r="C12" s="11" t="str">
        <x:v>FAQ page build</x:v>
      </x:c>
      <x:c r="D12" s="11" t="str">
        <x:v>Canvas Works</x:v>
      </x:c>
      <x:c r="E12" s="15" t="str">
        <x:v>Saved</x:v>
      </x:c>
      <x:c r="F12" s="15" t="str">
        <x:v>Check whether the posting is still relevant</x:v>
      </x:c>
      <x:c r="G12" s="16" t="str"/>
      <x:c r="H12" s="13" t="n">
        <x:v>46152</x:v>
      </x:c>
      <x:c r="I12" s="13" t="str"/>
      <x:c r="J12" s="14" t="str">
        <x:v>J006</x:v>
      </x:c>
      <x:c r="K12" s="11" t="str">
        <x:v>https://example.com/jobs/j006</x:v>
      </x:c>
    </x:row>
    <x:row r="13" ht="45" customHeight="1">
      <x:c r="A13" s="1"/>
      <x:c r="B13" s="14" t="n">
        <x:v>7</x:v>
      </x:c>
      <x:c r="C13" s="11" t="str">
        <x:v>Report filter update</x:v>
      </x:c>
      <x:c r="D13" s="11" t="str">
        <x:v>Cedar Supply</x:v>
      </x:c>
      <x:c r="E13" s="15" t="str">
        <x:v>Saved</x:v>
      </x:c>
      <x:c r="F13" s="15" t="str">
        <x:v>Review the filter requirements</x:v>
      </x:c>
      <x:c r="G13" s="16" t="n">
        <x:v>46275</x:v>
      </x:c>
      <x:c r="H13" s="13" t="n">
        <x:v>46268</x:v>
      </x:c>
      <x:c r="I13" s="13" t="str"/>
      <x:c r="J13" s="14" t="str">
        <x:v>J007</x:v>
      </x:c>
      <x:c r="K13" s="11" t="str">
        <x:v>https://example.com/jobs/j007</x:v>
      </x:c>
    </x:row>
    <x:row r="14" ht="45" customHeight="1">
      <x:c r="A14" s="1"/>
      <x:c r="B14" s="14" t="n">
        <x:v>8</x:v>
      </x:c>
      <x:c r="C14" s="11" t="str">
        <x:v>Contact page repair</x:v>
      </x:c>
      <x:c r="D14" s="11" t="str">
        <x:v>Maple Office</x:v>
      </x:c>
      <x:c r="E14" s="15" t="str">
        <x:v>Applied</x:v>
      </x:c>
      <x:c r="F14" s="15" t="str">
        <x:v>Wait for a reply</x:v>
      </x:c>
      <x:c r="G14" s="16" t="str"/>
      <x:c r="H14" s="13" t="n">
        <x:v>46269</x:v>
      </x:c>
      <x:c r="I14" s="13" t="n">
        <x:v>46270</x:v>
      </x:c>
      <x:c r="J14" s="14" t="str">
        <x:v>J008</x:v>
      </x:c>
      <x:c r="K14" s="11" t="str">
        <x:v>https://example.com/jobs/j008</x:v>
      </x:c>
    </x:row>
    <x:row r="15" ht="45" customHeight="1">
      <x:c r="A15" s="1"/>
      <x:c r="B15" s="14" t="n">
        <x:v>9</x:v>
      </x:c>
      <x:c r="C15" s="11" t="str">
        <x:v>CSV import review</x:v>
      </x:c>
      <x:c r="D15" s="11" t="str">
        <x:v>Willow Shop</x:v>
      </x:c>
      <x:c r="E15" s="15" t="str">
        <x:v>Interviewing</x:v>
      </x:c>
      <x:c r="F15" s="15" t="str">
        <x:v>Confirm the required columns</x:v>
      </x:c>
      <x:c r="G15" s="16" t="n">
        <x:v>46274</x:v>
      </x:c>
      <x:c r="H15" s="13" t="n">
        <x:v>46267</x:v>
      </x:c>
      <x:c r="I15" s="13" t="n">
        <x:v>46268</x:v>
      </x:c>
      <x:c r="J15" s="14" t="str">
        <x:v>J009</x:v>
      </x:c>
      <x:c r="K15" s="11" t="str">
        <x:v>https://example.com/jobs/j009</x:v>
      </x:c>
    </x:row>
    <x:row r="16" ht="45" customHeight="1">
      <x:c r="A16" s="1"/>
      <x:c r="B16" s="14" t="n">
        <x:v>10</x:v>
      </x:c>
      <x:c r="C16" s="11" t="str">
        <x:v>Service page refresh</x:v>
      </x:c>
      <x:c r="D16" s="11" t="str">
        <x:v>Field House</x:v>
      </x:c>
      <x:c r="E16" s="15" t="str">
        <x:v>Applied</x:v>
      </x:c>
      <x:c r="F16" s="15" t="str">
        <x:v>Check for a client response</x:v>
      </x:c>
      <x:c r="G16" s="16" t="n">
        <x:v>46276</x:v>
      </x:c>
      <x:c r="H16" s="13" t="n">
        <x:v>46269</x:v>
      </x:c>
      <x:c r="I16" s="13" t="n">
        <x:v>46270</x:v>
      </x:c>
      <x:c r="J16" s="14" t="str">
        <x:v>J010</x:v>
      </x:c>
      <x:c r="K16" s="11" t="str">
        <x:v>https://example.com/jobs/j010</x:v>
      </x:c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</x:sheetData>
  <x:conditionalFormatting sqref="G7:G206">
    <x:cfRule type="expression" dxfId="0" priority="1">
      <x:formula>AND(ISNUMBER(G7),G7&lt;='Overview'!$F$6)</x:formula>
    </x:cfRule>
  </x:conditionalFormatting>
  <x:conditionalFormatting sqref="E7:E206">
    <x:cfRule type="containsText" dxfId="1" priority="2" operator="containsText" text="Interviewing"/>
    <x:cfRule type="containsText" dxfId="2" priority="3" operator="containsText" text="Offer"/>
  </x:conditionalFormatting>
  <x:dataValidations count="1">
    <x:dataValidation type="list" sqref="E7:E206">
      <x:formula1>"Saved,Applied,Interviewing,Offer"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b5fc31635e4e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29" hidden="0" customWidth="1"/>
    <x:col min="4" max="4" width="22" hidden="0" customWidth="1"/>
    <x:col min="5" max="5" width="17" hidden="0" customWidth="1"/>
    <x:col min="6" max="6" width="4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47" hidden="0" customWidth="1"/>
    <x:col min="12" max="12" width="63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3" customHeight="1">
      <x:c r="A2" s="1"/>
      <x:c r="B2" s="2" t="str">
        <x:v>Archive jobs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/>
      <x:c r="B3" s="3" t="str">
        <x:v>Closed, expired and exact duplicate entries retained. Fictional sample.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"/>
      <x:c r="B6" s="8" t="str">
        <x:v>Source record</x:v>
      </x:c>
      <x:c r="C6" s="8" t="str">
        <x:v>Job title</x:v>
      </x:c>
      <x:c r="D6" s="8" t="str">
        <x:v>Client</x:v>
      </x:c>
      <x:c r="E6" s="8" t="str">
        <x:v>Status</x:v>
      </x:c>
      <x:c r="F6" s="8" t="str">
        <x:v>Next action</x:v>
      </x:c>
      <x:c r="G6" s="8" t="str">
        <x:v>Due date</x:v>
      </x:c>
      <x:c r="H6" s="8" t="str">
        <x:v>Posted</x:v>
      </x:c>
      <x:c r="I6" s="8" t="str">
        <x:v>Applied</x:v>
      </x:c>
      <x:c r="J6" s="8" t="str">
        <x:v>Job ID</x:v>
      </x:c>
      <x:c r="K6" s="8" t="str">
        <x:v>Posting URL</x:v>
      </x:c>
      <x:c r="L6" s="8" t="str">
        <x:v>Reason</x:v>
      </x:c>
    </x:row>
    <x:row r="7" ht="45" customHeight="1">
      <x:c r="A7" s="1"/>
      <x:c r="B7" s="14" t="n">
        <x:v>11</x:v>
      </x:c>
      <x:c r="C7" s="11" t="str">
        <x:v>Invoice export repair</x:v>
      </x:c>
      <x:c r="D7" s="11" t="str">
        <x:v>Pine Workshop</x:v>
      </x:c>
      <x:c r="E7" s="11" t="str">
        <x:v>Applied</x:v>
      </x:c>
      <x:c r="F7" s="11" t="str">
        <x:v>Check for a client response</x:v>
      </x:c>
      <x:c r="G7" s="13" t="n">
        <x:v>46273</x:v>
      </x:c>
      <x:c r="H7" s="13" t="n">
        <x:v>46267</x:v>
      </x:c>
      <x:c r="I7" s="13" t="n">
        <x:v>46268</x:v>
      </x:c>
      <x:c r="J7" s="14" t="str">
        <x:v>J002</x:v>
      </x:c>
      <x:c r="K7" s="11" t="str">
        <x:v>https://example.com/jobs/j002</x:v>
      </x:c>
      <x:c r="L7" s="11" t="str">
        <x:v>Exact normalized duplicate of source record 2</x:v>
      </x:c>
    </x:row>
    <x:row r="8" ht="45" customHeight="1">
      <x:c r="A8" s="1"/>
      <x:c r="B8" s="14" t="n">
        <x:v>12</x:v>
      </x:c>
      <x:c r="C8" s="11" t="str">
        <x:v>Booking form update</x:v>
      </x:c>
      <x:c r="D8" s="11" t="str">
        <x:v>Northline Studio</x:v>
      </x:c>
      <x:c r="E8" s="11" t="str">
        <x:v>Applied</x:v>
      </x:c>
      <x:c r="F8" s="11" t="str">
        <x:v>Prepare questions about existing form</x:v>
      </x:c>
      <x:c r="G8" s="13" t="n">
        <x:v>46272</x:v>
      </x:c>
      <x:c r="H8" s="13" t="n">
        <x:v>46266</x:v>
      </x:c>
      <x:c r="I8" s="13" t="n">
        <x:v>46267</x:v>
      </x:c>
      <x:c r="J8" s="14" t="str">
        <x:v>J003</x:v>
      </x:c>
      <x:c r="K8" s="11" t="str">
        <x:v>https://example.com/jobs/j003</x:v>
      </x:c>
      <x:c r="L8" s="11" t="str">
        <x:v>Exact normalized duplicate of source record 3</x:v>
      </x:c>
    </x:row>
    <x:row r="9" ht="45" customHeight="1">
      <x:c r="A9" s="1"/>
      <x:c r="B9" s="14" t="n">
        <x:v>13</x:v>
      </x:c>
      <x:c r="C9" s="11" t="str">
        <x:v>Seasonal page update</x:v>
      </x:c>
      <x:c r="D9" s="11" t="str">
        <x:v>Birch Market</x:v>
      </x:c>
      <x:c r="E9" s="11" t="str">
        <x:v>Closed</x:v>
      </x:c>
      <x:c r="F9" s="11" t="str">
        <x:v>Posting marked closed in source</x:v>
      </x:c>
      <x:c r="G9" s="13" t="str"/>
      <x:c r="H9" s="13" t="n">
        <x:v>46206</x:v>
      </x:c>
      <x:c r="I9" s="13" t="n">
        <x:v>46208</x:v>
      </x:c>
      <x:c r="J9" s="14" t="str">
        <x:v>J011</x:v>
      </x:c>
      <x:c r="K9" s="11" t="str">
        <x:v>https://example.com/jobs/j011</x:v>
      </x:c>
      <x:c r="L9" s="11" t="str">
        <x:v>Source explicitly marked closed</x:v>
      </x:c>
    </x:row>
    <x:row r="10" ht="45" customHeight="1">
      <x:c r="A10" s="1"/>
      <x:c r="B10" s="14" t="n">
        <x:v>14</x:v>
      </x:c>
      <x:c r="C10" s="11" t="str">
        <x:v>Archived menu edit</x:v>
      </x:c>
      <x:c r="D10" s="11" t="str">
        <x:v>West Quay</x:v>
      </x:c>
      <x:c r="E10" s="11" t="str">
        <x:v>Expired</x:v>
      </x:c>
      <x:c r="F10" s="11" t="str">
        <x:v>Posting marked expired in source</x:v>
      </x:c>
      <x:c r="G10" s="13" t="str"/>
      <x:c r="H10" s="13" t="n">
        <x:v>46212</x:v>
      </x:c>
      <x:c r="I10" s="13" t="str"/>
      <x:c r="J10" s="14" t="str">
        <x:v>J012</x:v>
      </x:c>
      <x:c r="K10" s="11" t="str">
        <x:v>https://example.com/jobs/j012</x:v>
      </x:c>
      <x:c r="L10" s="11" t="str">
        <x:v>Source explicitly marked expired</x:v>
      </x:c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  <x:tableParts count="1">
    <x:tablePart xmlns:r="http://schemas.openxmlformats.org/officeDocument/2006/relationships" r:id="R9ef82b163b4743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29" hidden="0" customWidth="1"/>
    <x:col min="4" max="4" width="22" hidden="0" customWidth="1"/>
    <x:col min="5" max="5" width="17" hidden="0" customWidth="1"/>
    <x:col min="6" max="6" width="44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47" hidden="0" customWidth="1"/>
    <x:col min="12" max="12" width="63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3" customHeight="1">
      <x:c r="A2" s="1"/>
      <x:c r="B2" s="2" t="str">
        <x:v>Review jobs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5" customHeight="1">
      <x:c r="A3" s="1"/>
      <x:c r="B3" s="3" t="str">
        <x:v>Uncertain records retained for a decision. Fictional sample.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5" customHeight="1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4" customHeight="1">
      <x:c r="A6" s="1"/>
      <x:c r="B6" s="8" t="str">
        <x:v>Source record</x:v>
      </x:c>
      <x:c r="C6" s="8" t="str">
        <x:v>Job title</x:v>
      </x:c>
      <x:c r="D6" s="8" t="str">
        <x:v>Client</x:v>
      </x:c>
      <x:c r="E6" s="8" t="str">
        <x:v>Status</x:v>
      </x:c>
      <x:c r="F6" s="8" t="str">
        <x:v>Next action</x:v>
      </x:c>
      <x:c r="G6" s="8" t="str">
        <x:v>Due date</x:v>
      </x:c>
      <x:c r="H6" s="8" t="str">
        <x:v>Posted</x:v>
      </x:c>
      <x:c r="I6" s="8" t="str">
        <x:v>Applied</x:v>
      </x:c>
      <x:c r="J6" s="8" t="str">
        <x:v>Job ID</x:v>
      </x:c>
      <x:c r="K6" s="8" t="str">
        <x:v>Posting URL</x:v>
      </x:c>
      <x:c r="L6" s="8" t="str">
        <x:v>Reason</x:v>
      </x:c>
    </x:row>
    <x:row r="7" ht="66" customHeight="1">
      <x:c r="A7" s="1"/>
      <x:c r="B7" s="14" t="n">
        <x:v>15</x:v>
      </x:c>
      <x:c r="C7" s="11" t="str">
        <x:v>Dashboard update</x:v>
      </x:c>
      <x:c r="D7" s="11" t="str">
        <x:v>Meadow Supply</x:v>
      </x:c>
      <x:c r="E7" s="11" t="str">
        <x:v>pending?</x:v>
      </x:c>
      <x:c r="F7" s="11" t="str">
        <x:v>Confirm whether saved or applied</x:v>
      </x:c>
      <x:c r="G7" s="13" t="str"/>
      <x:c r="H7" s="13" t="n">
        <x:v>46268</x:v>
      </x:c>
      <x:c r="I7" s="13" t="str"/>
      <x:c r="J7" s="14" t="str">
        <x:v>J013</x:v>
      </x:c>
      <x:c r="K7" s="11" t="str">
        <x:v>https://example.com/jobs/j013</x:v>
      </x:c>
      <x:c r="L7" s="11" t="str">
        <x:v>Unrecognized status</x:v>
      </x:c>
    </x:row>
    <x:row r="8" ht="66" customHeight="1">
      <x:c r="A8" s="1"/>
      <x:c r="B8" s="14" t="n">
        <x:v>16</x:v>
      </x:c>
      <x:c r="C8" s="11" t="str">
        <x:v>Price list review</x:v>
      </x:c>
      <x:c r="D8" s="11" t="str">
        <x:v>Elm Workshop</x:v>
      </x:c>
      <x:c r="E8" s="11" t="str">
        <x:v>Saved</x:v>
      </x:c>
      <x:c r="F8" s="11" t="str">
        <x:v>Find the original job ID or posting URL</x:v>
      </x:c>
      <x:c r="G8" s="13" t="str"/>
      <x:c r="H8" s="13" t="n">
        <x:v>46269</x:v>
      </x:c>
      <x:c r="I8" s="13" t="str"/>
      <x:c r="J8" s="14" t="str"/>
      <x:c r="K8" s="11" t="str"/>
      <x:c r="L8" s="11" t="str">
        <x:v>Missing job ID and posting URL</x:v>
      </x:c>
    </x:row>
    <x:row r="9" ht="66" customHeight="1">
      <x:c r="A9" s="1"/>
      <x:c r="B9" s="14" t="n">
        <x:v>17</x:v>
      </x:c>
      <x:c r="C9" s="11" t="str">
        <x:v>Quote widget fix</x:v>
      </x:c>
      <x:c r="D9" s="11" t="str">
        <x:v>Stone Studio</x:v>
      </x:c>
      <x:c r="E9" s="11" t="str">
        <x:v>Applied</x:v>
      </x:c>
      <x:c r="F9" s="11" t="str">
        <x:v>Check for a response</x:v>
      </x:c>
      <x:c r="G9" s="13" t="n">
        <x:v>46273</x:v>
      </x:c>
      <x:c r="H9" s="13" t="n">
        <x:v>46266</x:v>
      </x:c>
      <x:c r="I9" s="13" t="n">
        <x:v>46267</x:v>
      </x:c>
      <x:c r="J9" s="14" t="str">
        <x:v>J014</x:v>
      </x:c>
      <x:c r="K9" s="11" t="str">
        <x:v>https://example.com/jobs/j014</x:v>
      </x:c>
      <x:c r="L9" s="11" t="str">
        <x:v>Conflicting records share a job ID or posting URL;
confirm the correct details</x:v>
      </x:c>
    </x:row>
    <x:row r="10" ht="66" customHeight="1">
      <x:c r="A10" s="1"/>
      <x:c r="B10" s="14" t="n">
        <x:v>18</x:v>
      </x:c>
      <x:c r="C10" s="11" t="str">
        <x:v>Quote widget fix</x:v>
      </x:c>
      <x:c r="D10" s="11" t="str">
        <x:v>Stone Studio</x:v>
      </x:c>
      <x:c r="E10" s="11" t="str">
        <x:v>Interviewing</x:v>
      </x:c>
      <x:c r="F10" s="11" t="str">
        <x:v>Confirm whether an interview began</x:v>
      </x:c>
      <x:c r="G10" s="13" t="n">
        <x:v>46273</x:v>
      </x:c>
      <x:c r="H10" s="13" t="n">
        <x:v>46266</x:v>
      </x:c>
      <x:c r="I10" s="13" t="n">
        <x:v>46267</x:v>
      </x:c>
      <x:c r="J10" s="14" t="str">
        <x:v>J014</x:v>
      </x:c>
      <x:c r="K10" s="11" t="str">
        <x:v>https://example.com/jobs/j014</x:v>
      </x:c>
      <x:c r="L10" s="11" t="str">
        <x:v>Conflicting records share a job ID or posting URL;
confirm the correct details</x:v>
      </x:c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  <x:tableParts count="1">
    <x:tablePart xmlns:r="http://schemas.openxmlformats.org/officeDocument/2006/relationships" r:id="Rae64406bc9934b1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10" hidden="0" customWidth="1"/>
    <x:col min="3" max="3" width="13" hidden="0" customWidth="1"/>
    <x:col min="4" max="4" width="29" hidden="0" customWidth="1"/>
    <x:col min="5" max="5" width="22" hidden="0" customWidth="1"/>
    <x:col min="6" max="6" width="48" hidden="0" customWidth="1"/>
    <x:col min="7" max="7" width="18" hidden="0" customWidth="1"/>
    <x:col min="8" max="8" width="15" hidden="0" customWidth="1"/>
    <x:col min="9" max="9" width="15" hidden="0" customWidth="1"/>
    <x:col min="10" max="10" width="16" hidden="0" customWidth="1"/>
    <x:col min="11" max="11" width="4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3" customHeight="1">
      <x:c r="A2" s="1"/>
      <x:c r="B2" s="2" t="str">
        <x:v>Original export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5" customHeight="1">
      <x:c r="A3" s="1"/>
      <x:c r="B3" s="3" t="str">
        <x:v>All 18 fictional source records, before cleanup. Keep this reference unchanged.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25" customHeight="1">
      <x:c r="A4" s="1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4" customHeight="1">
      <x:c r="A6" s="1"/>
      <x:c r="B6" s="8" t="str">
        <x:v>Source record</x:v>
      </x:c>
      <x:c r="C6" s="8" t="str">
        <x:v>job id</x:v>
      </x:c>
      <x:c r="D6" s="8" t="str">
        <x:v>job title</x:v>
      </x:c>
      <x:c r="E6" s="8" t="str">
        <x:v>client</x:v>
      </x:c>
      <x:c r="F6" s="8" t="str">
        <x:v>posting url</x:v>
      </x:c>
      <x:c r="G6" s="8" t="str">
        <x:v>status</x:v>
      </x:c>
      <x:c r="H6" s="8" t="str">
        <x:v>posted date</x:v>
      </x:c>
      <x:c r="I6" s="8" t="str">
        <x:v>applied date</x:v>
      </x:c>
      <x:c r="J6" s="8" t="str">
        <x:v>next action date</x:v>
      </x:c>
      <x:c r="K6" s="8" t="str">
        <x:v>next action</x:v>
      </x:c>
    </x:row>
    <x:row r="7" ht="45" customHeight="1">
      <x:c r="A7" s="1"/>
      <x:c r="B7" s="14" t="n">
        <x:v>1</x:v>
      </x:c>
      <x:c r="C7" s="14" t="str">
        <x:v>J001</x:v>
      </x:c>
      <x:c r="D7" s="11" t="str">
        <x:v>Landing page cleanup</x:v>
      </x:c>
      <x:c r="E7" s="11" t="str">
        <x:v>Harbor Supply</x:v>
      </x:c>
      <x:c r="F7" s="11" t="str">
        <x:v>https://example.com/jobs/j001</x:v>
      </x:c>
      <x:c r="G7" s="11" t="str">
        <x:v>Saved</x:v>
      </x:c>
      <x:c r="H7" s="14" t="str">
        <x:v>2026-09-04</x:v>
      </x:c>
      <x:c r="I7" s="14" t="str"/>
      <x:c r="J7" s="14" t="str">
        <x:v>2026-09-06</x:v>
      </x:c>
      <x:c r="K7" s="11" t="str">
        <x:v>Review scope and choose relevant sample</x:v>
      </x:c>
    </x:row>
    <x:row r="8" ht="45" customHeight="1">
      <x:c r="A8" s="1"/>
      <x:c r="B8" s="14" t="n">
        <x:v>2</x:v>
      </x:c>
      <x:c r="C8" s="14" t="str">
        <x:v>J002</x:v>
      </x:c>
      <x:c r="D8" s="11" t="str">
        <x:v>Invoice export repair</x:v>
      </x:c>
      <x:c r="E8" s="11" t="str">
        <x:v>Pine Workshop</x:v>
      </x:c>
      <x:c r="F8" s="11" t="str">
        <x:v>https://example.com/jobs/j002</x:v>
      </x:c>
      <x:c r="G8" s="11" t="str">
        <x:v>Applied</x:v>
      </x:c>
      <x:c r="H8" s="14" t="str">
        <x:v>2026-09-02</x:v>
      </x:c>
      <x:c r="I8" s="14" t="str">
        <x:v>2026-09-03</x:v>
      </x:c>
      <x:c r="J8" s="14" t="str">
        <x:v>2026-09-08</x:v>
      </x:c>
      <x:c r="K8" s="11" t="str">
        <x:v>Check for a client response</x:v>
      </x:c>
    </x:row>
    <x:row r="9" ht="45" customHeight="1">
      <x:c r="A9" s="1"/>
      <x:c r="B9" s="14" t="n">
        <x:v>3</x:v>
      </x:c>
      <x:c r="C9" s="14" t="str">
        <x:v>J003</x:v>
      </x:c>
      <x:c r="D9" s="11" t="str">
        <x:v>Booking form update</x:v>
      </x:c>
      <x:c r="E9" s="11" t="str">
        <x:v>Northline Studio</x:v>
      </x:c>
      <x:c r="F9" s="11" t="str">
        <x:v>https://example.com/jobs/j003</x:v>
      </x:c>
      <x:c r="G9" s="11" t="str">
        <x:v>Submitted</x:v>
      </x:c>
      <x:c r="H9" s="14" t="str">
        <x:v>2026-09-01</x:v>
      </x:c>
      <x:c r="I9" s="14" t="str">
        <x:v>2026-09-02</x:v>
      </x:c>
      <x:c r="J9" s="14" t="str">
        <x:v>2026-09-07</x:v>
      </x:c>
      <x:c r="K9" s="11" t="str">
        <x:v>Prepare questions about existing form</x:v>
      </x:c>
    </x:row>
    <x:row r="10" ht="45" customHeight="1">
      <x:c r="A10" s="1"/>
      <x:c r="B10" s="14" t="n">
        <x:v>4</x:v>
      </x:c>
      <x:c r="C10" s="14" t="str">
        <x:v>J004</x:v>
      </x:c>
      <x:c r="D10" s="11" t="str">
        <x:v>Product table cleanup</x:v>
      </x:c>
      <x:c r="E10" s="11" t="str">
        <x:v>Juniper Goods</x:v>
      </x:c>
      <x:c r="F10" s="11" t="str">
        <x:v>https://example.com/jobs/j004</x:v>
      </x:c>
      <x:c r="G10" s="11" t="str">
        <x:v>Interview</x:v>
      </x:c>
      <x:c r="H10" s="14" t="str">
        <x:v>2026-08-29</x:v>
      </x:c>
      <x:c r="I10" s="14" t="str">
        <x:v>2026-08-30</x:v>
      </x:c>
      <x:c r="J10" s="14" t="str">
        <x:v>2026-09-06</x:v>
      </x:c>
      <x:c r="K10" s="11" t="str">
        <x:v>Clarify sample file and acceptance checks</x:v>
      </x:c>
    </x:row>
    <x:row r="11" ht="45" customHeight="1">
      <x:c r="A11" s="1"/>
      <x:c r="B11" s="14" t="n">
        <x:v>5</x:v>
      </x:c>
      <x:c r="C11" s="14" t="str">
        <x:v>J005</x:v>
      </x:c>
      <x:c r="D11" s="11" t="str">
        <x:v>Mobile layout polish</x:v>
      </x:c>
      <x:c r="E11" s="11" t="str">
        <x:v>Orchard Services</x:v>
      </x:c>
      <x:c r="F11" s="11" t="str">
        <x:v>https://example.com/jobs/j005</x:v>
      </x:c>
      <x:c r="G11" s="11" t="str">
        <x:v>Offered</x:v>
      </x:c>
      <x:c r="H11" s="14" t="str">
        <x:v>2026-09-01</x:v>
      </x:c>
      <x:c r="I11" s="14" t="str">
        <x:v>2026-09-01</x:v>
      </x:c>
      <x:c r="J11" s="14" t="str">
        <x:v>2026-09-05</x:v>
      </x:c>
      <x:c r="K11" s="11" t="str">
        <x:v>Review proposed scope and milestone</x:v>
      </x:c>
    </x:row>
    <x:row r="12" ht="45" customHeight="1">
      <x:c r="A12" s="1"/>
      <x:c r="B12" s="14" t="n">
        <x:v>6</x:v>
      </x:c>
      <x:c r="C12" s="14" t="str">
        <x:v>J006</x:v>
      </x:c>
      <x:c r="D12" s="11" t="str">
        <x:v>FAQ page build</x:v>
      </x:c>
      <x:c r="E12" s="11" t="str">
        <x:v>Canvas Works</x:v>
      </x:c>
      <x:c r="F12" s="11" t="str">
        <x:v>https://example.com/jobs/j006</x:v>
      </x:c>
      <x:c r="G12" s="11" t="str">
        <x:v>Open</x:v>
      </x:c>
      <x:c r="H12" s="14" t="str">
        <x:v>2026-05-10</x:v>
      </x:c>
      <x:c r="I12" s="14" t="str"/>
      <x:c r="J12" s="14" t="str"/>
      <x:c r="K12" s="11" t="str">
        <x:v>Check whether the posting is still relevant</x:v>
      </x:c>
    </x:row>
    <x:row r="13" ht="45" customHeight="1">
      <x:c r="A13" s="1"/>
      <x:c r="B13" s="14" t="n">
        <x:v>7</x:v>
      </x:c>
      <x:c r="C13" s="14" t="str">
        <x:v>J007</x:v>
      </x:c>
      <x:c r="D13" s="11" t="str">
        <x:v>Report filter update</x:v>
      </x:c>
      <x:c r="E13" s="11" t="str">
        <x:v>Cedar Supply</x:v>
      </x:c>
      <x:c r="F13" s="11" t="str">
        <x:v>https://example.com/jobs/j007</x:v>
      </x:c>
      <x:c r="G13" s="11" t="str">
        <x:v>Saved</x:v>
      </x:c>
      <x:c r="H13" s="14" t="str">
        <x:v>2026-09-03</x:v>
      </x:c>
      <x:c r="I13" s="14" t="str"/>
      <x:c r="J13" s="14" t="str">
        <x:v>2026-09-10</x:v>
      </x:c>
      <x:c r="K13" s="11" t="str">
        <x:v>Review the filter requirements</x:v>
      </x:c>
    </x:row>
    <x:row r="14" ht="45" customHeight="1">
      <x:c r="A14" s="1"/>
      <x:c r="B14" s="14" t="n">
        <x:v>8</x:v>
      </x:c>
      <x:c r="C14" s="14" t="str">
        <x:v>J008</x:v>
      </x:c>
      <x:c r="D14" s="11" t="str">
        <x:v>Contact page repair</x:v>
      </x:c>
      <x:c r="E14" s="11" t="str">
        <x:v>Maple Office</x:v>
      </x:c>
      <x:c r="F14" s="11" t="str">
        <x:v>https://example.com/jobs/j008</x:v>
      </x:c>
      <x:c r="G14" s="11" t="str">
        <x:v>Applied</x:v>
      </x:c>
      <x:c r="H14" s="14" t="str">
        <x:v>2026-09-04</x:v>
      </x:c>
      <x:c r="I14" s="14" t="str">
        <x:v>2026-09-05</x:v>
      </x:c>
      <x:c r="J14" s="14" t="str"/>
      <x:c r="K14" s="11" t="str">
        <x:v>Wait for a reply</x:v>
      </x:c>
    </x:row>
    <x:row r="15" ht="45" customHeight="1">
      <x:c r="A15" s="1"/>
      <x:c r="B15" s="14" t="n">
        <x:v>9</x:v>
      </x:c>
      <x:c r="C15" s="14" t="str">
        <x:v>J009</x:v>
      </x:c>
      <x:c r="D15" s="11" t="str">
        <x:v>CSV import review</x:v>
      </x:c>
      <x:c r="E15" s="11" t="str">
        <x:v>Willow Shop</x:v>
      </x:c>
      <x:c r="F15" s="11" t="str">
        <x:v>https://example.com/jobs/j009</x:v>
      </x:c>
      <x:c r="G15" s="11" t="str">
        <x:v>Interviewing</x:v>
      </x:c>
      <x:c r="H15" s="14" t="str">
        <x:v>2026-09-02</x:v>
      </x:c>
      <x:c r="I15" s="14" t="str">
        <x:v>2026-09-03</x:v>
      </x:c>
      <x:c r="J15" s="14" t="str">
        <x:v>2026-09-09</x:v>
      </x:c>
      <x:c r="K15" s="11" t="str">
        <x:v>Confirm the required columns</x:v>
      </x:c>
    </x:row>
    <x:row r="16" ht="45" customHeight="1">
      <x:c r="A16" s="1"/>
      <x:c r="B16" s="14" t="n">
        <x:v>10</x:v>
      </x:c>
      <x:c r="C16" s="14" t="str">
        <x:v>J010</x:v>
      </x:c>
      <x:c r="D16" s="11" t="str">
        <x:v>Service page refresh</x:v>
      </x:c>
      <x:c r="E16" s="11" t="str">
        <x:v>Field House</x:v>
      </x:c>
      <x:c r="F16" s="11" t="str">
        <x:v>https://example.com/jobs/j010</x:v>
      </x:c>
      <x:c r="G16" s="11" t="str">
        <x:v>Applied</x:v>
      </x:c>
      <x:c r="H16" s="14" t="str">
        <x:v>2026-09-04</x:v>
      </x:c>
      <x:c r="I16" s="14" t="str">
        <x:v>2026-09-05</x:v>
      </x:c>
      <x:c r="J16" s="14" t="str">
        <x:v>2026-09-11</x:v>
      </x:c>
      <x:c r="K16" s="11" t="str">
        <x:v>Check for a client response</x:v>
      </x:c>
    </x:row>
    <x:row r="17" ht="45" customHeight="1">
      <x:c r="A17" s="1"/>
      <x:c r="B17" s="14" t="n">
        <x:v>11</x:v>
      </x:c>
      <x:c r="C17" s="14" t="str">
        <x:v> J002 </x:v>
      </x:c>
      <x:c r="D17" s="11" t="str">
        <x:v>Invoice export repair</x:v>
      </x:c>
      <x:c r="E17" s="11" t="str">
        <x:v>Pine Workshop</x:v>
      </x:c>
      <x:c r="F17" s="11" t="str">
        <x:v>HTTPS://EXAMPLE.COM/jobs/j002</x:v>
      </x:c>
      <x:c r="G17" s="11" t="str">
        <x:v> applied </x:v>
      </x:c>
      <x:c r="H17" s="14" t="str">
        <x:v>2026-09-02</x:v>
      </x:c>
      <x:c r="I17" s="14" t="str">
        <x:v>2026-09-03</x:v>
      </x:c>
      <x:c r="J17" s="14" t="str">
        <x:v>2026-09-08</x:v>
      </x:c>
      <x:c r="K17" s="11" t="str">
        <x:v>Check for a client response</x:v>
      </x:c>
    </x:row>
    <x:row r="18" ht="45" customHeight="1">
      <x:c r="A18" s="1"/>
      <x:c r="B18" s="14" t="n">
        <x:v>12</x:v>
      </x:c>
      <x:c r="C18" s="14" t="str">
        <x:v>J003</x:v>
      </x:c>
      <x:c r="D18" s="11" t="str">
        <x:v>Booking form update</x:v>
      </x:c>
      <x:c r="E18" s="11" t="str">
        <x:v>Northline Studio</x:v>
      </x:c>
      <x:c r="F18" s="11" t="str">
        <x:v>https://example.com/jobs/j003</x:v>
      </x:c>
      <x:c r="G18" s="11" t="str">
        <x:v>Applied</x:v>
      </x:c>
      <x:c r="H18" s="14" t="str">
        <x:v>2026-09-01</x:v>
      </x:c>
      <x:c r="I18" s="14" t="str">
        <x:v>2026-09-02</x:v>
      </x:c>
      <x:c r="J18" s="14" t="str">
        <x:v>2026-09-07</x:v>
      </x:c>
      <x:c r="K18" s="11" t="str">
        <x:v>Prepare questions about existing form</x:v>
      </x:c>
    </x:row>
    <x:row r="19" ht="45" customHeight="1">
      <x:c r="A19" s="1"/>
      <x:c r="B19" s="14" t="n">
        <x:v>13</x:v>
      </x:c>
      <x:c r="C19" s="14" t="str">
        <x:v>J011</x:v>
      </x:c>
      <x:c r="D19" s="11" t="str">
        <x:v>Seasonal page update</x:v>
      </x:c>
      <x:c r="E19" s="11" t="str">
        <x:v>Birch Market</x:v>
      </x:c>
      <x:c r="F19" s="11" t="str">
        <x:v>https://example.com/jobs/j011</x:v>
      </x:c>
      <x:c r="G19" s="11" t="str">
        <x:v>Closed</x:v>
      </x:c>
      <x:c r="H19" s="14" t="str">
        <x:v>2026-07-03</x:v>
      </x:c>
      <x:c r="I19" s="14" t="str">
        <x:v>2026-07-05</x:v>
      </x:c>
      <x:c r="J19" s="14" t="str"/>
      <x:c r="K19" s="11" t="str">
        <x:v>Posting marked closed in source</x:v>
      </x:c>
    </x:row>
    <x:row r="20" ht="45" customHeight="1">
      <x:c r="A20" s="1"/>
      <x:c r="B20" s="14" t="n">
        <x:v>14</x:v>
      </x:c>
      <x:c r="C20" s="14" t="str">
        <x:v>J012</x:v>
      </x:c>
      <x:c r="D20" s="11" t="str">
        <x:v>Archived menu edit</x:v>
      </x:c>
      <x:c r="E20" s="11" t="str">
        <x:v>West Quay</x:v>
      </x:c>
      <x:c r="F20" s="11" t="str">
        <x:v>https://example.com/jobs/j012</x:v>
      </x:c>
      <x:c r="G20" s="11" t="str">
        <x:v>Expired</x:v>
      </x:c>
      <x:c r="H20" s="14" t="str">
        <x:v>2026-07-09</x:v>
      </x:c>
      <x:c r="I20" s="14" t="str"/>
      <x:c r="J20" s="14" t="str"/>
      <x:c r="K20" s="11" t="str">
        <x:v>Posting marked expired in source</x:v>
      </x:c>
    </x:row>
    <x:row r="21" ht="45" customHeight="1">
      <x:c r="A21" s="1"/>
      <x:c r="B21" s="14" t="n">
        <x:v>15</x:v>
      </x:c>
      <x:c r="C21" s="14" t="str">
        <x:v>J013</x:v>
      </x:c>
      <x:c r="D21" s="11" t="str">
        <x:v>Dashboard update</x:v>
      </x:c>
      <x:c r="E21" s="11" t="str">
        <x:v>Meadow Supply</x:v>
      </x:c>
      <x:c r="F21" s="11" t="str">
        <x:v>https://example.com/jobs/j013</x:v>
      </x:c>
      <x:c r="G21" s="11" t="str">
        <x:v>pending?</x:v>
      </x:c>
      <x:c r="H21" s="14" t="str">
        <x:v>2026-09-03</x:v>
      </x:c>
      <x:c r="I21" s="14" t="str"/>
      <x:c r="J21" s="14" t="str"/>
      <x:c r="K21" s="11" t="str">
        <x:v>Confirm whether saved or applied</x:v>
      </x:c>
    </x:row>
    <x:row r="22" ht="45" customHeight="1">
      <x:c r="A22" s="1"/>
      <x:c r="B22" s="14" t="n">
        <x:v>16</x:v>
      </x:c>
      <x:c r="C22" s="14" t="str"/>
      <x:c r="D22" s="11" t="str">
        <x:v>Price list review</x:v>
      </x:c>
      <x:c r="E22" s="11" t="str">
        <x:v>Elm Workshop</x:v>
      </x:c>
      <x:c r="F22" s="11" t="str"/>
      <x:c r="G22" s="11" t="str">
        <x:v>Saved</x:v>
      </x:c>
      <x:c r="H22" s="14" t="str">
        <x:v>2026-09-04</x:v>
      </x:c>
      <x:c r="I22" s="14" t="str"/>
      <x:c r="J22" s="14" t="str"/>
      <x:c r="K22" s="11" t="str">
        <x:v>Find the original job ID or posting URL</x:v>
      </x:c>
    </x:row>
    <x:row r="23" ht="45" customHeight="1">
      <x:c r="A23" s="1"/>
      <x:c r="B23" s="14" t="n">
        <x:v>17</x:v>
      </x:c>
      <x:c r="C23" s="14" t="str">
        <x:v>J014</x:v>
      </x:c>
      <x:c r="D23" s="11" t="str">
        <x:v>Quote widget fix</x:v>
      </x:c>
      <x:c r="E23" s="11" t="str">
        <x:v>Stone Studio</x:v>
      </x:c>
      <x:c r="F23" s="11" t="str">
        <x:v>https://example.com/jobs/j014</x:v>
      </x:c>
      <x:c r="G23" s="11" t="str">
        <x:v>Applied</x:v>
      </x:c>
      <x:c r="H23" s="14" t="str">
        <x:v>2026-09-01</x:v>
      </x:c>
      <x:c r="I23" s="14" t="str">
        <x:v>2026-09-02</x:v>
      </x:c>
      <x:c r="J23" s="14" t="str">
        <x:v>2026-09-08</x:v>
      </x:c>
      <x:c r="K23" s="11" t="str">
        <x:v>Check for a response</x:v>
      </x:c>
    </x:row>
    <x:row r="24" ht="45" customHeight="1">
      <x:c r="A24" s="1"/>
      <x:c r="B24" s="14" t="n">
        <x:v>18</x:v>
      </x:c>
      <x:c r="C24" s="14" t="str">
        <x:v>J014</x:v>
      </x:c>
      <x:c r="D24" s="11" t="str">
        <x:v>Quote widget fix</x:v>
      </x:c>
      <x:c r="E24" s="11" t="str">
        <x:v>Stone Studio</x:v>
      </x:c>
      <x:c r="F24" s="11" t="str">
        <x:v>https://example.com/jobs/j014</x:v>
      </x:c>
      <x:c r="G24" s="11" t="str">
        <x:v>Interviewing</x:v>
      </x:c>
      <x:c r="H24" s="14" t="str">
        <x:v>2026-09-01</x:v>
      </x:c>
      <x:c r="I24" s="14" t="str">
        <x:v>2026-09-02</x:v>
      </x:c>
      <x:c r="J24" s="14" t="str">
        <x:v>2026-09-08</x:v>
      </x:c>
      <x:c r="K24" s="11" t="str">
        <x:v>Confirm whether an interview began</x:v>
      </x:c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</x:sheetData>
  <x:pageMargins left="0.7" right="0.7" top="0.75" bottom="0.75" header="0.3" footer="0.3"/>
  <x:tableParts count="1">
    <x:tablePart xmlns:r="http://schemas.openxmlformats.org/officeDocument/2006/relationships" r:id="R48eb7d94edfd4d2f"/>
  </x:tableParts>
</x:worksheet>
</file>